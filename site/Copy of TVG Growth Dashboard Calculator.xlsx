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Growth Dash" sheetId="1" r:id="rId5"/>
  </sheets>
  <definedNames>
    <definedName name="zsupermetrics_refreshAll">#REF!</definedName>
    <definedName name="zsupermetrics_forceRefresh">#REF!</definedName>
    <definedName name="zsupermetrics_5FMF53s62BL93qT3xaiWpGZkhmR8bP">#REF!</definedName>
    <definedName name="zsupermetrics_zgeLs5yQvnzQpw7C5VjgtUd6sCfjTj">#REF!</definedName>
    <definedName name="zsupermetrics_refreshAllSilent">#REF!</definedName>
  </definedNames>
  <calcPr/>
</workbook>
</file>

<file path=xl/sharedStrings.xml><?xml version="1.0" encoding="utf-8"?>
<sst xmlns="http://schemas.openxmlformats.org/spreadsheetml/2006/main" count="60" uniqueCount="48">
  <si>
    <t xml:space="preserve">Copyright 2026. All rights reserved. Confidential. </t>
  </si>
  <si>
    <t>Watch the Video Training Here!</t>
  </si>
  <si>
    <t>GROWTH DASHBOARD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</si>
  <si>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</si>
  <si>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</si>
  <si>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</si>
  <si>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</si>
  <si>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</si>
  <si>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</si>
  <si>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</si>
  <si>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</si>
  <si>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</si>
  <si>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</si>
  <si>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</si>
  <si>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</si>
  <si>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</si>
  <si>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</si>
  <si>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</si>
  <si>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</si>
  <si>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Year</t>
  </si>
  <si>
    <t>P&amp;L</t>
  </si>
  <si>
    <t>Gross Sales</t>
  </si>
  <si>
    <t>% Change</t>
  </si>
  <si>
    <t>Discounts</t>
  </si>
  <si>
    <t>Returns</t>
  </si>
  <si>
    <t>Net Sales</t>
  </si>
  <si>
    <t>COGS</t>
  </si>
  <si>
    <t>Gross Profit</t>
  </si>
  <si>
    <t xml:space="preserve">Total Ad Spend </t>
  </si>
  <si>
    <t>Agency Fees</t>
  </si>
  <si>
    <t>Other Marketing Exps.</t>
  </si>
  <si>
    <t>MER</t>
  </si>
  <si>
    <t>Shipping</t>
  </si>
  <si>
    <t>Other OPEX</t>
  </si>
  <si>
    <t>Net Profit</t>
  </si>
  <si>
    <t xml:space="preserve">Net Profit % </t>
  </si>
  <si>
    <t>GROWTH</t>
  </si>
  <si>
    <t>AOV</t>
  </si>
  <si>
    <t>New Customers</t>
  </si>
  <si>
    <t>New Customer Net Sales</t>
  </si>
  <si>
    <t>Net aMER</t>
  </si>
  <si>
    <t>Blended nCAC</t>
  </si>
  <si>
    <t>1 YR AOV</t>
  </si>
  <si>
    <t>1 YR PF</t>
  </si>
  <si>
    <t>1 YR LTV</t>
  </si>
  <si>
    <t>LTV:nCAC</t>
  </si>
  <si>
    <t>Gross Profit Margin</t>
  </si>
  <si>
    <t>LTGP:nCAC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</si>
</sst>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0.0%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u/>
      <sz val="15.0"/>
      <color rgb="FF0000FF"/>
    </font>
    <font>
      <b/>
      <color theme="1"/>
      <name val="Arial"/>
      <scheme val="minor"/>
    </font>
    <font>
      <b/>
      <color theme="1"/>
      <name val="Arial"/>
    </font>
    <font>
      <sz val="7.0"/>
      <color rgb="FFB7B7B7"/>
      <name val="Arial"/>
    </font>
    <font>
      <color rgb="FFCCCCCC"/>
      <name val="Arial"/>
      <scheme val="minor"/>
    </font>
    <font>
      <color rgb="FFB7B7B7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2" fontId="5" numFmtId="164" xfId="0" applyAlignment="1" applyFont="1" applyNumberFormat="1">
      <alignment horizontal="center" readingOrder="0" vertical="bottom"/>
    </xf>
    <xf borderId="0" fillId="2" fontId="5" numFmtId="14" xfId="0" applyAlignment="1" applyFont="1" applyNumberFormat="1">
      <alignment horizontal="center" vertical="bottom"/>
    </xf>
    <xf borderId="0" fillId="3" fontId="4" numFmtId="0" xfId="0" applyAlignment="1" applyFill="1" applyFont="1">
      <alignment horizontal="center" readingOrder="0"/>
    </xf>
    <xf borderId="0" fillId="3" fontId="1" numFmtId="0" xfId="0" applyFont="1"/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6" numFmtId="0" xfId="0" applyAlignment="1" applyFont="1">
      <alignment horizontal="right" readingOrder="0" vertical="bottom"/>
    </xf>
    <xf borderId="0" fillId="4" fontId="7" numFmtId="166" xfId="0" applyFill="1" applyFont="1" applyNumberFormat="1"/>
    <xf borderId="0" fillId="4" fontId="1" numFmtId="0" xfId="0" applyFont="1"/>
    <xf borderId="1" fillId="0" fontId="1" numFmtId="165" xfId="0" applyAlignment="1" applyBorder="1" applyFont="1" applyNumberFormat="1">
      <alignment horizontal="right" readingOrder="0"/>
    </xf>
    <xf borderId="2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2" fillId="0" fontId="1" numFmtId="165" xfId="0" applyBorder="1" applyFont="1" applyNumberFormat="1"/>
    <xf borderId="3" fillId="0" fontId="1" numFmtId="165" xfId="0" applyBorder="1" applyFont="1" applyNumberFormat="1"/>
    <xf borderId="0" fillId="4" fontId="8" numFmtId="0" xfId="0" applyFont="1"/>
    <xf borderId="0" fillId="4" fontId="8" numFmtId="166" xfId="0" applyFont="1" applyNumberFormat="1"/>
    <xf borderId="0" fillId="0" fontId="8" numFmtId="0" xfId="0" applyFont="1"/>
    <xf borderId="0" fillId="0" fontId="9" numFmtId="165" xfId="0" applyAlignment="1" applyFont="1" applyNumberFormat="1">
      <alignment horizontal="right" readingOrder="0" vertical="bottom"/>
    </xf>
    <xf borderId="0" fillId="5" fontId="1" numFmtId="165" xfId="0" applyAlignment="1" applyFill="1" applyFont="1" applyNumberFormat="1">
      <alignment horizontal="right" readingOrder="0"/>
    </xf>
    <xf borderId="0" fillId="5" fontId="1" numFmtId="165" xfId="0" applyAlignment="1" applyFont="1" applyNumberFormat="1">
      <alignment readingOrder="0"/>
    </xf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0" fontId="1" numFmtId="4" xfId="0" applyAlignment="1" applyFont="1" applyNumberFormat="1">
      <alignment horizontal="right" readingOrder="0"/>
    </xf>
    <xf borderId="0" fillId="0" fontId="1" numFmtId="4" xfId="0" applyFont="1" applyNumberFormat="1"/>
    <xf borderId="1" fillId="0" fontId="1" numFmtId="0" xfId="0" applyAlignment="1" applyBorder="1" applyFont="1">
      <alignment horizontal="right" readingOrder="0"/>
    </xf>
    <xf borderId="2" fillId="0" fontId="1" numFmtId="10" xfId="0" applyBorder="1" applyFont="1" applyNumberFormat="1"/>
    <xf borderId="1" fillId="0" fontId="1" numFmtId="10" xfId="0" applyBorder="1" applyFont="1" applyNumberFormat="1"/>
    <xf borderId="3" fillId="0" fontId="1" numFmtId="10" xfId="0" applyBorder="1" applyFont="1" applyNumberFormat="1"/>
    <xf borderId="0" fillId="0" fontId="1" numFmtId="0" xfId="0" applyAlignment="1" applyFont="1">
      <alignment horizontal="right" readingOrder="0"/>
    </xf>
    <xf borderId="0" fillId="0" fontId="9" numFmtId="165" xfId="0" applyAlignment="1" applyFont="1" applyNumberForma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9" numFmtId="4" xfId="0" applyAlignment="1" applyFont="1" applyNumberFormat="1">
      <alignment horizontal="right" readingOrder="0" vertical="bottom"/>
    </xf>
    <xf borderId="0" fillId="0" fontId="9" numFmtId="4" xfId="0" applyAlignment="1" applyFont="1" applyNumberFormat="1">
      <alignment vertical="bottom"/>
    </xf>
    <xf borderId="0" fillId="0" fontId="9" numFmtId="165" xfId="0" applyAlignment="1" applyFont="1" applyNumberFormat="1">
      <alignment horizontal="left" vertical="bottom"/>
    </xf>
    <xf borderId="0" fillId="0" fontId="1" numFmtId="2" xfId="0" applyFont="1" applyNumberFormat="1"/>
    <xf borderId="0" fillId="5" fontId="10" numFmtId="0" xfId="0" applyAlignment="1" applyFont="1">
      <alignment horizontal="right" readingOrder="0"/>
    </xf>
    <xf borderId="0" fillId="5" fontId="1" numFmtId="10" xfId="0" applyAlignment="1" applyFont="1" applyNumberFormat="1">
      <alignment readingOrder="0"/>
    </xf>
    <xf borderId="0" fillId="5" fontId="1" numFmtId="10" xfId="0" applyFont="1" applyNumberForma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28Fw83F-314?si=PyeyvRr6ctiNJwd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75"/>
    <col customWidth="1" min="14" max="14" width="2.38"/>
  </cols>
  <sheetData>
    <row r="1" ht="59.25" customHeight="1">
      <c r="A1" s="1"/>
      <c r="B1" s="2" t="s">
        <v>0</v>
      </c>
      <c r="E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</row>
    <row r="3" hidden="1">
      <c r="A3" s="4"/>
      <c r="B3" s="5">
        <v>46023.0</v>
      </c>
      <c r="C3" s="6">
        <f t="shared" ref="C3:M3" si="1">EDATE(B3, 1)</f>
        <v>46054</v>
      </c>
      <c r="D3" s="6">
        <f t="shared" si="1"/>
        <v>46082</v>
      </c>
      <c r="E3" s="6">
        <f t="shared" si="1"/>
        <v>46113</v>
      </c>
      <c r="F3" s="6">
        <f t="shared" si="1"/>
        <v>46143</v>
      </c>
      <c r="G3" s="6">
        <f t="shared" si="1"/>
        <v>46174</v>
      </c>
      <c r="H3" s="6">
        <f t="shared" si="1"/>
        <v>46204</v>
      </c>
      <c r="I3" s="6">
        <f t="shared" si="1"/>
        <v>46235</v>
      </c>
      <c r="J3" s="6">
        <f t="shared" si="1"/>
        <v>46266</v>
      </c>
      <c r="K3" s="6">
        <f t="shared" si="1"/>
        <v>46296</v>
      </c>
      <c r="L3" s="6">
        <f t="shared" si="1"/>
        <v>46327</v>
      </c>
      <c r="M3" s="6">
        <f t="shared" si="1"/>
        <v>46357</v>
      </c>
      <c r="O3" s="4"/>
      <c r="P3" s="4"/>
      <c r="Q3" s="4"/>
      <c r="R3" s="4"/>
      <c r="S3" s="4"/>
    </row>
    <row r="4">
      <c r="A4" s="7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O4" s="8"/>
      <c r="P4" s="8"/>
      <c r="Q4" s="8"/>
      <c r="R4" s="8"/>
      <c r="S4" s="8"/>
    </row>
    <row r="5">
      <c r="A5" s="9" t="s">
        <v>21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1"/>
      <c r="O5" s="11">
        <f>sum(B5:D5)</f>
        <v>0</v>
      </c>
      <c r="P5" s="11">
        <f>sum(E5:G5)</f>
        <v>0</v>
      </c>
      <c r="Q5" s="11">
        <f>sum(H5:J5)</f>
        <v>0</v>
      </c>
      <c r="R5" s="11">
        <f>sum(K5:M5)</f>
        <v>0</v>
      </c>
      <c r="S5" s="11">
        <f>sum(O5:R5)</f>
        <v>0</v>
      </c>
      <c r="T5" s="11"/>
      <c r="U5" s="11"/>
      <c r="V5" s="11"/>
      <c r="W5" s="11"/>
      <c r="X5" s="11"/>
      <c r="Y5" s="11"/>
    </row>
    <row r="6" ht="12.75" customHeight="1">
      <c r="A6" s="12" t="s">
        <v>22</v>
      </c>
      <c r="B6" s="13"/>
      <c r="C6" s="13" t="str">
        <f t="shared" ref="C6:M6" si="2">IFERROR((C5-B5)/B5,"")</f>
        <v/>
      </c>
      <c r="D6" s="13" t="str">
        <f t="shared" si="2"/>
        <v/>
      </c>
      <c r="E6" s="13" t="str">
        <f t="shared" si="2"/>
        <v/>
      </c>
      <c r="F6" s="13" t="str">
        <f t="shared" si="2"/>
        <v/>
      </c>
      <c r="G6" s="13" t="str">
        <f t="shared" si="2"/>
        <v/>
      </c>
      <c r="H6" s="13" t="str">
        <f t="shared" si="2"/>
        <v/>
      </c>
      <c r="I6" s="13" t="str">
        <f t="shared" si="2"/>
        <v/>
      </c>
      <c r="J6" s="13" t="str">
        <f t="shared" si="2"/>
        <v/>
      </c>
      <c r="K6" s="13" t="str">
        <f t="shared" si="2"/>
        <v/>
      </c>
      <c r="L6" s="13" t="str">
        <f t="shared" si="2"/>
        <v/>
      </c>
      <c r="M6" s="13" t="str">
        <f t="shared" si="2"/>
        <v/>
      </c>
      <c r="O6" s="13" t="str">
        <f t="shared" ref="O6:R6" si="3">IFERROR((O5-N5)/N5,"")</f>
        <v/>
      </c>
      <c r="P6" s="13" t="str">
        <f t="shared" si="3"/>
        <v/>
      </c>
      <c r="Q6" s="13" t="str">
        <f t="shared" si="3"/>
        <v/>
      </c>
      <c r="R6" s="13" t="str">
        <f t="shared" si="3"/>
        <v/>
      </c>
      <c r="S6" s="14"/>
    </row>
    <row r="7">
      <c r="A7" s="9" t="s">
        <v>23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/>
      <c r="O7" s="11">
        <f t="shared" ref="O7:O9" si="4">sum(B7:D7)</f>
        <v>0</v>
      </c>
      <c r="P7" s="11">
        <f t="shared" ref="P7:P9" si="5">sum(E7:G7)</f>
        <v>0</v>
      </c>
      <c r="Q7" s="11">
        <f t="shared" ref="Q7:Q9" si="6">sum(H7:J7)</f>
        <v>0</v>
      </c>
      <c r="R7" s="11">
        <f t="shared" ref="R7:R9" si="7">sum(K7:M7)</f>
        <v>0</v>
      </c>
      <c r="S7" s="11">
        <f t="shared" ref="S7:S9" si="8">sum(O7:R7)</f>
        <v>0</v>
      </c>
      <c r="T7" s="11"/>
      <c r="U7" s="11"/>
      <c r="V7" s="11"/>
      <c r="W7" s="11"/>
      <c r="X7" s="11"/>
      <c r="Y7" s="11"/>
    </row>
    <row r="8">
      <c r="A8" s="9" t="s">
        <v>24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/>
      <c r="O8" s="11">
        <f t="shared" si="4"/>
        <v>0</v>
      </c>
      <c r="P8" s="11">
        <f t="shared" si="5"/>
        <v>0</v>
      </c>
      <c r="Q8" s="11">
        <f t="shared" si="6"/>
        <v>0</v>
      </c>
      <c r="R8" s="11">
        <f t="shared" si="7"/>
        <v>0</v>
      </c>
      <c r="S8" s="11">
        <f t="shared" si="8"/>
        <v>0</v>
      </c>
      <c r="T8" s="11"/>
      <c r="U8" s="11"/>
      <c r="V8" s="11"/>
      <c r="W8" s="11"/>
      <c r="X8" s="11"/>
      <c r="Y8" s="11"/>
    </row>
    <row r="9">
      <c r="A9" s="15" t="s">
        <v>25</v>
      </c>
      <c r="B9" s="16">
        <f t="shared" ref="B9:M9" si="9">B5-B7-B8</f>
        <v>0</v>
      </c>
      <c r="C9" s="16">
        <f t="shared" si="9"/>
        <v>0</v>
      </c>
      <c r="D9" s="16">
        <f t="shared" si="9"/>
        <v>0</v>
      </c>
      <c r="E9" s="16">
        <f t="shared" si="9"/>
        <v>0</v>
      </c>
      <c r="F9" s="16">
        <f t="shared" si="9"/>
        <v>0</v>
      </c>
      <c r="G9" s="16">
        <f t="shared" si="9"/>
        <v>0</v>
      </c>
      <c r="H9" s="16">
        <f t="shared" si="9"/>
        <v>0</v>
      </c>
      <c r="I9" s="16">
        <f t="shared" si="9"/>
        <v>0</v>
      </c>
      <c r="J9" s="16">
        <f t="shared" si="9"/>
        <v>0</v>
      </c>
      <c r="K9" s="16">
        <f t="shared" si="9"/>
        <v>0</v>
      </c>
      <c r="L9" s="16">
        <f t="shared" si="9"/>
        <v>0</v>
      </c>
      <c r="M9" s="16">
        <f t="shared" si="9"/>
        <v>0</v>
      </c>
      <c r="N9" s="11"/>
      <c r="O9" s="17">
        <f t="shared" si="4"/>
        <v>0</v>
      </c>
      <c r="P9" s="18">
        <f t="shared" si="5"/>
        <v>0</v>
      </c>
      <c r="Q9" s="18">
        <f t="shared" si="6"/>
        <v>0</v>
      </c>
      <c r="R9" s="18">
        <f t="shared" si="7"/>
        <v>0</v>
      </c>
      <c r="S9" s="19">
        <f t="shared" si="8"/>
        <v>0</v>
      </c>
      <c r="T9" s="11"/>
      <c r="U9" s="11"/>
      <c r="V9" s="11"/>
      <c r="W9" s="11"/>
      <c r="X9" s="11"/>
      <c r="Y9" s="11"/>
    </row>
    <row r="10" ht="12.75" customHeight="1">
      <c r="A10" s="12" t="s">
        <v>22</v>
      </c>
      <c r="B10" s="20"/>
      <c r="C10" s="21" t="str">
        <f t="shared" ref="C10:M10" si="10">IFERROR((C9-B9)/B9,"")</f>
        <v/>
      </c>
      <c r="D10" s="21" t="str">
        <f t="shared" si="10"/>
        <v/>
      </c>
      <c r="E10" s="21" t="str">
        <f t="shared" si="10"/>
        <v/>
      </c>
      <c r="F10" s="21" t="str">
        <f t="shared" si="10"/>
        <v/>
      </c>
      <c r="G10" s="21" t="str">
        <f t="shared" si="10"/>
        <v/>
      </c>
      <c r="H10" s="21" t="str">
        <f t="shared" si="10"/>
        <v/>
      </c>
      <c r="I10" s="21" t="str">
        <f t="shared" si="10"/>
        <v/>
      </c>
      <c r="J10" s="21" t="str">
        <f t="shared" si="10"/>
        <v/>
      </c>
      <c r="K10" s="21" t="str">
        <f t="shared" si="10"/>
        <v/>
      </c>
      <c r="L10" s="21" t="str">
        <f t="shared" si="10"/>
        <v/>
      </c>
      <c r="M10" s="21" t="str">
        <f t="shared" si="10"/>
        <v/>
      </c>
      <c r="N10" s="22"/>
      <c r="O10" s="21" t="str">
        <f t="shared" ref="O10:R10" si="11">IFERROR((O9-N9)/N9,"")</f>
        <v/>
      </c>
      <c r="P10" s="21" t="str">
        <f t="shared" si="11"/>
        <v/>
      </c>
      <c r="Q10" s="21" t="str">
        <f t="shared" si="11"/>
        <v/>
      </c>
      <c r="R10" s="21" t="str">
        <f t="shared" si="11"/>
        <v/>
      </c>
      <c r="S10" s="20"/>
      <c r="T10" s="22"/>
      <c r="U10" s="22"/>
      <c r="V10" s="22"/>
      <c r="W10" s="22"/>
      <c r="X10" s="22"/>
      <c r="Y10" s="22"/>
    </row>
    <row r="11">
      <c r="A11" s="9" t="s">
        <v>26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1"/>
      <c r="O11" s="11">
        <f t="shared" ref="O11:O13" si="13">sum(B11:D11)</f>
        <v>0</v>
      </c>
      <c r="P11" s="11">
        <f t="shared" ref="P11:P13" si="14">sum(E11:G11)</f>
        <v>0</v>
      </c>
      <c r="Q11" s="11">
        <f t="shared" ref="Q11:Q13" si="15">sum(H11:J11)</f>
        <v>0</v>
      </c>
      <c r="R11" s="11">
        <f t="shared" ref="R11:R13" si="16">sum(K11:M11)</f>
        <v>0</v>
      </c>
      <c r="S11" s="11">
        <f t="shared" ref="S11:S13" si="17">sum(O11:R11)</f>
        <v>0</v>
      </c>
      <c r="T11" s="11"/>
      <c r="U11" s="11"/>
      <c r="V11" s="11"/>
      <c r="W11" s="11"/>
      <c r="X11" s="11"/>
      <c r="Y11" s="11"/>
    </row>
    <row r="12">
      <c r="A12" s="9" t="s">
        <v>27</v>
      </c>
      <c r="B12" s="10">
        <f t="shared" ref="B12:M12" si="12">B9-B11</f>
        <v>0</v>
      </c>
      <c r="C12" s="10">
        <f t="shared" si="12"/>
        <v>0</v>
      </c>
      <c r="D12" s="10">
        <f t="shared" si="12"/>
        <v>0</v>
      </c>
      <c r="E12" s="10">
        <f t="shared" si="12"/>
        <v>0</v>
      </c>
      <c r="F12" s="10">
        <f t="shared" si="12"/>
        <v>0</v>
      </c>
      <c r="G12" s="10">
        <f t="shared" si="12"/>
        <v>0</v>
      </c>
      <c r="H12" s="10">
        <f t="shared" si="12"/>
        <v>0</v>
      </c>
      <c r="I12" s="10">
        <f t="shared" si="12"/>
        <v>0</v>
      </c>
      <c r="J12" s="10">
        <f t="shared" si="12"/>
        <v>0</v>
      </c>
      <c r="K12" s="10">
        <f t="shared" si="12"/>
        <v>0</v>
      </c>
      <c r="L12" s="10">
        <f t="shared" si="12"/>
        <v>0</v>
      </c>
      <c r="M12" s="10">
        <f t="shared" si="12"/>
        <v>0</v>
      </c>
      <c r="N12" s="11"/>
      <c r="O12" s="11">
        <f t="shared" si="13"/>
        <v>0</v>
      </c>
      <c r="P12" s="11">
        <f t="shared" si="14"/>
        <v>0</v>
      </c>
      <c r="Q12" s="11">
        <f t="shared" si="15"/>
        <v>0</v>
      </c>
      <c r="R12" s="11">
        <f t="shared" si="16"/>
        <v>0</v>
      </c>
      <c r="S12" s="11">
        <f t="shared" si="17"/>
        <v>0</v>
      </c>
      <c r="T12" s="11"/>
      <c r="U12" s="11"/>
      <c r="V12" s="11"/>
      <c r="W12" s="11"/>
      <c r="X12" s="11"/>
      <c r="Y12" s="11"/>
    </row>
    <row r="13" ht="15.0" customHeight="1">
      <c r="A13" s="23" t="s">
        <v>28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/>
      <c r="O13" s="11">
        <f t="shared" si="13"/>
        <v>0</v>
      </c>
      <c r="P13" s="11">
        <f t="shared" si="14"/>
        <v>0</v>
      </c>
      <c r="Q13" s="11">
        <f t="shared" si="15"/>
        <v>0</v>
      </c>
      <c r="R13" s="11">
        <f t="shared" si="16"/>
        <v>0</v>
      </c>
      <c r="S13" s="11">
        <f t="shared" si="17"/>
        <v>0</v>
      </c>
      <c r="T13" s="11"/>
      <c r="U13" s="11"/>
      <c r="V13" s="11"/>
      <c r="W13" s="11"/>
      <c r="X13" s="11"/>
      <c r="Y13" s="11"/>
    </row>
    <row r="14" ht="12.75" customHeight="1">
      <c r="A14" s="12" t="s">
        <v>22</v>
      </c>
      <c r="B14" s="20"/>
      <c r="C14" s="21" t="str">
        <f t="shared" ref="C14:M14" si="18">IFERROR((C13-B13)/B13,"")</f>
        <v/>
      </c>
      <c r="D14" s="21" t="str">
        <f t="shared" si="18"/>
        <v/>
      </c>
      <c r="E14" s="21" t="str">
        <f t="shared" si="18"/>
        <v/>
      </c>
      <c r="F14" s="21" t="str">
        <f t="shared" si="18"/>
        <v/>
      </c>
      <c r="G14" s="21" t="str">
        <f t="shared" si="18"/>
        <v/>
      </c>
      <c r="H14" s="21" t="str">
        <f t="shared" si="18"/>
        <v/>
      </c>
      <c r="I14" s="21" t="str">
        <f t="shared" si="18"/>
        <v/>
      </c>
      <c r="J14" s="21" t="str">
        <f t="shared" si="18"/>
        <v/>
      </c>
      <c r="K14" s="21" t="str">
        <f t="shared" si="18"/>
        <v/>
      </c>
      <c r="L14" s="21" t="str">
        <f t="shared" si="18"/>
        <v/>
      </c>
      <c r="M14" s="21" t="str">
        <f t="shared" si="18"/>
        <v/>
      </c>
      <c r="N14" s="22"/>
      <c r="O14" s="21" t="str">
        <f t="shared" ref="O14:R14" si="19">IFERROR((O13-N13)/N13,"")</f>
        <v/>
      </c>
      <c r="P14" s="21" t="str">
        <f t="shared" si="19"/>
        <v/>
      </c>
      <c r="Q14" s="21" t="str">
        <f t="shared" si="19"/>
        <v/>
      </c>
      <c r="R14" s="21" t="str">
        <f t="shared" si="19"/>
        <v/>
      </c>
      <c r="S14" s="20"/>
      <c r="T14" s="22"/>
      <c r="U14" s="22"/>
      <c r="V14" s="22"/>
      <c r="W14" s="22"/>
      <c r="X14" s="22"/>
      <c r="Y14" s="22"/>
    </row>
    <row r="15">
      <c r="A15" s="24" t="s">
        <v>29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11"/>
      <c r="O15" s="11">
        <f t="shared" ref="O15:O16" si="20">sum(B15:D15)</f>
        <v>0</v>
      </c>
      <c r="P15" s="11">
        <f t="shared" ref="P15:P16" si="21">sum(E15:G15)</f>
        <v>0</v>
      </c>
      <c r="Q15" s="11">
        <f t="shared" ref="Q15:Q16" si="22">sum(H15:J15)</f>
        <v>0</v>
      </c>
      <c r="R15" s="11">
        <f t="shared" ref="R15:R16" si="23">sum(K15:M15)</f>
        <v>0</v>
      </c>
      <c r="S15" s="11">
        <f t="shared" ref="S15:S16" si="24">sum(O15:R15)</f>
        <v>0</v>
      </c>
      <c r="T15" s="11"/>
      <c r="U15" s="11"/>
      <c r="V15" s="11"/>
      <c r="W15" s="11"/>
      <c r="X15" s="11"/>
      <c r="Y15" s="11"/>
    </row>
    <row r="16">
      <c r="A16" s="26" t="s">
        <v>30</v>
      </c>
      <c r="B16" s="25"/>
      <c r="C16" s="25"/>
      <c r="D16" s="25"/>
      <c r="E16" s="25"/>
      <c r="F16" s="25"/>
      <c r="G16" s="25"/>
      <c r="H16" s="25"/>
      <c r="I16" s="25"/>
      <c r="J16" s="27"/>
      <c r="K16" s="27"/>
      <c r="L16" s="27"/>
      <c r="M16" s="28"/>
      <c r="O16" s="11">
        <f t="shared" si="20"/>
        <v>0</v>
      </c>
      <c r="P16" s="11">
        <f t="shared" si="21"/>
        <v>0</v>
      </c>
      <c r="Q16" s="11">
        <f t="shared" si="22"/>
        <v>0</v>
      </c>
      <c r="R16" s="11">
        <f t="shared" si="23"/>
        <v>0</v>
      </c>
      <c r="S16" s="11">
        <f t="shared" si="24"/>
        <v>0</v>
      </c>
    </row>
    <row r="17">
      <c r="A17" s="29" t="s">
        <v>31</v>
      </c>
      <c r="B17" s="30" t="str">
        <f t="shared" ref="B17:M17" si="25">IFERROR(B5/B13,"Pending Data")</f>
        <v>Pending Data</v>
      </c>
      <c r="C17" s="30" t="str">
        <f t="shared" si="25"/>
        <v>Pending Data</v>
      </c>
      <c r="D17" s="30" t="str">
        <f t="shared" si="25"/>
        <v>Pending Data</v>
      </c>
      <c r="E17" s="30" t="str">
        <f t="shared" si="25"/>
        <v>Pending Data</v>
      </c>
      <c r="F17" s="30" t="str">
        <f t="shared" si="25"/>
        <v>Pending Data</v>
      </c>
      <c r="G17" s="30" t="str">
        <f t="shared" si="25"/>
        <v>Pending Data</v>
      </c>
      <c r="H17" s="30" t="str">
        <f t="shared" si="25"/>
        <v>Pending Data</v>
      </c>
      <c r="I17" s="30" t="str">
        <f t="shared" si="25"/>
        <v>Pending Data</v>
      </c>
      <c r="J17" s="30" t="str">
        <f t="shared" si="25"/>
        <v>Pending Data</v>
      </c>
      <c r="K17" s="30" t="str">
        <f t="shared" si="25"/>
        <v>Pending Data</v>
      </c>
      <c r="L17" s="30" t="str">
        <f t="shared" si="25"/>
        <v>Pending Data</v>
      </c>
      <c r="M17" s="30" t="str">
        <f t="shared" si="25"/>
        <v>Pending Data</v>
      </c>
      <c r="N17" s="30"/>
      <c r="O17" s="30" t="str">
        <f t="shared" ref="O17:S17" si="26">IFERROR(O5/O13,"Pending Data")</f>
        <v>Pending Data</v>
      </c>
      <c r="P17" s="30" t="str">
        <f t="shared" si="26"/>
        <v>Pending Data</v>
      </c>
      <c r="Q17" s="30" t="str">
        <f t="shared" si="26"/>
        <v>Pending Data</v>
      </c>
      <c r="R17" s="30" t="str">
        <f t="shared" si="26"/>
        <v>Pending Data</v>
      </c>
      <c r="S17" s="30" t="str">
        <f t="shared" si="26"/>
        <v>Pending Data</v>
      </c>
      <c r="T17" s="30"/>
      <c r="U17" s="30"/>
      <c r="V17" s="30"/>
      <c r="W17" s="30"/>
      <c r="X17" s="30"/>
      <c r="Y17" s="30"/>
    </row>
    <row r="18" ht="12.75" customHeight="1">
      <c r="A18" s="12" t="s">
        <v>22</v>
      </c>
      <c r="B18" s="20"/>
      <c r="C18" s="21" t="str">
        <f t="shared" ref="C18:M18" si="27">IFERROR((C17-B17)/B17,"")</f>
        <v/>
      </c>
      <c r="D18" s="21" t="str">
        <f t="shared" si="27"/>
        <v/>
      </c>
      <c r="E18" s="21" t="str">
        <f t="shared" si="27"/>
        <v/>
      </c>
      <c r="F18" s="21" t="str">
        <f t="shared" si="27"/>
        <v/>
      </c>
      <c r="G18" s="21" t="str">
        <f t="shared" si="27"/>
        <v/>
      </c>
      <c r="H18" s="21" t="str">
        <f t="shared" si="27"/>
        <v/>
      </c>
      <c r="I18" s="21" t="str">
        <f t="shared" si="27"/>
        <v/>
      </c>
      <c r="J18" s="21" t="str">
        <f t="shared" si="27"/>
        <v/>
      </c>
      <c r="K18" s="21" t="str">
        <f t="shared" si="27"/>
        <v/>
      </c>
      <c r="L18" s="21" t="str">
        <f t="shared" si="27"/>
        <v/>
      </c>
      <c r="M18" s="21" t="str">
        <f t="shared" si="27"/>
        <v/>
      </c>
      <c r="N18" s="22"/>
      <c r="O18" s="21" t="str">
        <f t="shared" ref="O18:R18" si="28">IFERROR((O17-N17)/N17,"")</f>
        <v/>
      </c>
      <c r="P18" s="21" t="str">
        <f t="shared" si="28"/>
        <v/>
      </c>
      <c r="Q18" s="21" t="str">
        <f t="shared" si="28"/>
        <v/>
      </c>
      <c r="R18" s="21" t="str">
        <f t="shared" si="28"/>
        <v/>
      </c>
      <c r="S18" s="20"/>
      <c r="T18" s="22"/>
      <c r="U18" s="22"/>
      <c r="V18" s="22"/>
      <c r="W18" s="22"/>
      <c r="X18" s="22"/>
      <c r="Y18" s="22"/>
    </row>
    <row r="19">
      <c r="A19" s="24" t="s">
        <v>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11"/>
      <c r="O19" s="11">
        <f t="shared" ref="O19:O21" si="29">sum(B19:D19)</f>
        <v>0</v>
      </c>
      <c r="P19" s="11">
        <f t="shared" ref="P19:P21" si="30">sum(E19:G19)</f>
        <v>0</v>
      </c>
      <c r="Q19" s="11">
        <f t="shared" ref="Q19:Q21" si="31">sum(H19:J19)</f>
        <v>0</v>
      </c>
      <c r="R19" s="11">
        <f t="shared" ref="R19:R21" si="32">sum(K19:M19)</f>
        <v>0</v>
      </c>
      <c r="S19" s="11">
        <f t="shared" ref="S19:S21" si="33">sum(O19:R19)</f>
        <v>0</v>
      </c>
      <c r="T19" s="11"/>
      <c r="U19" s="11"/>
      <c r="V19" s="11"/>
      <c r="W19" s="11"/>
      <c r="X19" s="11"/>
      <c r="Y19" s="11"/>
    </row>
    <row r="20">
      <c r="A20" s="24" t="s">
        <v>33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11"/>
      <c r="O20" s="11">
        <f t="shared" si="29"/>
        <v>0</v>
      </c>
      <c r="P20" s="11">
        <f t="shared" si="30"/>
        <v>0</v>
      </c>
      <c r="Q20" s="11">
        <f t="shared" si="31"/>
        <v>0</v>
      </c>
      <c r="R20" s="11">
        <f t="shared" si="32"/>
        <v>0</v>
      </c>
      <c r="S20" s="11">
        <f t="shared" si="33"/>
        <v>0</v>
      </c>
      <c r="T20" s="11"/>
      <c r="U20" s="11"/>
      <c r="V20" s="11"/>
      <c r="W20" s="11"/>
      <c r="X20" s="11"/>
      <c r="Y20" s="11"/>
    </row>
    <row r="21">
      <c r="A21" s="9" t="s">
        <v>34</v>
      </c>
      <c r="B21" s="10">
        <f t="shared" ref="B21:M21" si="34">B12-B13-B15-B16-B19-B20</f>
        <v>0</v>
      </c>
      <c r="C21" s="10">
        <f t="shared" si="34"/>
        <v>0</v>
      </c>
      <c r="D21" s="10">
        <f t="shared" si="34"/>
        <v>0</v>
      </c>
      <c r="E21" s="10">
        <f t="shared" si="34"/>
        <v>0</v>
      </c>
      <c r="F21" s="10">
        <f t="shared" si="34"/>
        <v>0</v>
      </c>
      <c r="G21" s="10">
        <f t="shared" si="34"/>
        <v>0</v>
      </c>
      <c r="H21" s="10">
        <f t="shared" si="34"/>
        <v>0</v>
      </c>
      <c r="I21" s="10">
        <f t="shared" si="34"/>
        <v>0</v>
      </c>
      <c r="J21" s="10">
        <f t="shared" si="34"/>
        <v>0</v>
      </c>
      <c r="K21" s="10">
        <f t="shared" si="34"/>
        <v>0</v>
      </c>
      <c r="L21" s="10">
        <f t="shared" si="34"/>
        <v>0</v>
      </c>
      <c r="M21" s="10">
        <f t="shared" si="34"/>
        <v>0</v>
      </c>
      <c r="N21" s="11"/>
      <c r="O21" s="11">
        <f t="shared" si="29"/>
        <v>0</v>
      </c>
      <c r="P21" s="11">
        <f t="shared" si="30"/>
        <v>0</v>
      </c>
      <c r="Q21" s="11">
        <f t="shared" si="31"/>
        <v>0</v>
      </c>
      <c r="R21" s="11">
        <f t="shared" si="32"/>
        <v>0</v>
      </c>
      <c r="S21" s="11">
        <f t="shared" si="33"/>
        <v>0</v>
      </c>
      <c r="T21" s="11"/>
      <c r="U21" s="11"/>
      <c r="V21" s="11"/>
      <c r="W21" s="11"/>
      <c r="X21" s="11"/>
      <c r="Y21" s="11"/>
    </row>
    <row r="22">
      <c r="A22" s="31" t="s">
        <v>35</v>
      </c>
      <c r="B22" s="32" t="str">
        <f t="shared" ref="B22:M22" si="35">IFERROR(B21/B5,"Pending Data")</f>
        <v>Pending Data</v>
      </c>
      <c r="C22" s="32" t="str">
        <f t="shared" si="35"/>
        <v>Pending Data</v>
      </c>
      <c r="D22" s="32" t="str">
        <f t="shared" si="35"/>
        <v>Pending Data</v>
      </c>
      <c r="E22" s="32" t="str">
        <f t="shared" si="35"/>
        <v>Pending Data</v>
      </c>
      <c r="F22" s="32" t="str">
        <f t="shared" si="35"/>
        <v>Pending Data</v>
      </c>
      <c r="G22" s="32" t="str">
        <f t="shared" si="35"/>
        <v>Pending Data</v>
      </c>
      <c r="H22" s="32" t="str">
        <f t="shared" si="35"/>
        <v>Pending Data</v>
      </c>
      <c r="I22" s="32" t="str">
        <f t="shared" si="35"/>
        <v>Pending Data</v>
      </c>
      <c r="J22" s="32" t="str">
        <f t="shared" si="35"/>
        <v>Pending Data</v>
      </c>
      <c r="K22" s="32" t="str">
        <f t="shared" si="35"/>
        <v>Pending Data</v>
      </c>
      <c r="L22" s="32" t="str">
        <f t="shared" si="35"/>
        <v>Pending Data</v>
      </c>
      <c r="M22" s="32" t="str">
        <f t="shared" si="35"/>
        <v>Pending Data</v>
      </c>
      <c r="O22" s="33" t="str">
        <f t="shared" ref="O22:S22" si="36">IFERROR(O21/O5,"Pending Data")</f>
        <v>Pending Data</v>
      </c>
      <c r="P22" s="32" t="str">
        <f t="shared" si="36"/>
        <v>Pending Data</v>
      </c>
      <c r="Q22" s="32" t="str">
        <f t="shared" si="36"/>
        <v>Pending Data</v>
      </c>
      <c r="R22" s="32" t="str">
        <f t="shared" si="36"/>
        <v>Pending Data</v>
      </c>
      <c r="S22" s="34" t="str">
        <f t="shared" si="36"/>
        <v>Pending Data</v>
      </c>
    </row>
    <row r="23" ht="12.75" customHeight="1">
      <c r="A23" s="12" t="s">
        <v>22</v>
      </c>
      <c r="B23" s="20"/>
      <c r="C23" s="21" t="str">
        <f t="shared" ref="C23:M23" si="37">IFERROR((C22-B22)/ABS(B22),"")</f>
        <v/>
      </c>
      <c r="D23" s="21" t="str">
        <f t="shared" si="37"/>
        <v/>
      </c>
      <c r="E23" s="21" t="str">
        <f t="shared" si="37"/>
        <v/>
      </c>
      <c r="F23" s="21" t="str">
        <f t="shared" si="37"/>
        <v/>
      </c>
      <c r="G23" s="21" t="str">
        <f t="shared" si="37"/>
        <v/>
      </c>
      <c r="H23" s="21" t="str">
        <f t="shared" si="37"/>
        <v/>
      </c>
      <c r="I23" s="21" t="str">
        <f t="shared" si="37"/>
        <v/>
      </c>
      <c r="J23" s="21" t="str">
        <f t="shared" si="37"/>
        <v/>
      </c>
      <c r="K23" s="21" t="str">
        <f t="shared" si="37"/>
        <v/>
      </c>
      <c r="L23" s="21" t="str">
        <f t="shared" si="37"/>
        <v/>
      </c>
      <c r="M23" s="21" t="str">
        <f t="shared" si="37"/>
        <v/>
      </c>
      <c r="N23" s="22"/>
      <c r="O23" s="21" t="str">
        <f t="shared" ref="O23:R23" si="38">IFERROR((O22-N22)/ABS(N22),"")</f>
        <v/>
      </c>
      <c r="P23" s="21" t="str">
        <f t="shared" si="38"/>
        <v/>
      </c>
      <c r="Q23" s="21" t="str">
        <f t="shared" si="38"/>
        <v/>
      </c>
      <c r="R23" s="21" t="str">
        <f t="shared" si="38"/>
        <v/>
      </c>
      <c r="S23" s="20"/>
      <c r="T23" s="22"/>
      <c r="U23" s="22"/>
      <c r="V23" s="22"/>
      <c r="W23" s="22"/>
      <c r="X23" s="22"/>
      <c r="Y23" s="22"/>
    </row>
    <row r="24">
      <c r="A24" s="7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</row>
    <row r="25">
      <c r="A25" s="35" t="s">
        <v>37</v>
      </c>
      <c r="B25" s="10">
        <v>0.0</v>
      </c>
      <c r="C25" s="10">
        <v>0.0</v>
      </c>
      <c r="D25" s="10">
        <v>0.0</v>
      </c>
      <c r="E25" s="10">
        <v>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O25" s="36">
        <f>IFERROR(AVERAGE(B25:D25),"Pending Data")</f>
        <v>0</v>
      </c>
      <c r="P25" s="11">
        <f>IFERROR(AVERAGE(E25:G25),"Pending Data")</f>
        <v>0</v>
      </c>
      <c r="Q25" s="37">
        <f>IFERROR(AVERAGE(H25:J25),"Pending Data")</f>
        <v>0</v>
      </c>
      <c r="R25" s="37">
        <f>IFERROR(AVERAGE(K25:M25),"Pending Data")</f>
        <v>0</v>
      </c>
      <c r="S25" s="11">
        <f>IFERROR(AVERAGE(B25:M25),"Pending Data")</f>
        <v>0</v>
      </c>
    </row>
    <row r="26" ht="12.75" customHeight="1">
      <c r="A26" s="12" t="s">
        <v>22</v>
      </c>
      <c r="B26" s="20"/>
      <c r="C26" s="21" t="str">
        <f t="shared" ref="C26:M26" si="39">IFERROR((C25-B25)/B25,"")</f>
        <v/>
      </c>
      <c r="D26" s="21" t="str">
        <f t="shared" si="39"/>
        <v/>
      </c>
      <c r="E26" s="21" t="str">
        <f t="shared" si="39"/>
        <v/>
      </c>
      <c r="F26" s="21" t="str">
        <f t="shared" si="39"/>
        <v/>
      </c>
      <c r="G26" s="21" t="str">
        <f t="shared" si="39"/>
        <v/>
      </c>
      <c r="H26" s="21" t="str">
        <f t="shared" si="39"/>
        <v/>
      </c>
      <c r="I26" s="21" t="str">
        <f t="shared" si="39"/>
        <v/>
      </c>
      <c r="J26" s="21" t="str">
        <f t="shared" si="39"/>
        <v/>
      </c>
      <c r="K26" s="21" t="str">
        <f t="shared" si="39"/>
        <v/>
      </c>
      <c r="L26" s="21" t="str">
        <f t="shared" si="39"/>
        <v/>
      </c>
      <c r="M26" s="21" t="str">
        <f t="shared" si="39"/>
        <v/>
      </c>
      <c r="N26" s="22"/>
      <c r="O26" s="21" t="str">
        <f t="shared" ref="O26:R26" si="40">IFERROR((O25-N25)/N25,"")</f>
        <v/>
      </c>
      <c r="P26" s="21" t="str">
        <f t="shared" si="40"/>
        <v/>
      </c>
      <c r="Q26" s="21" t="str">
        <f t="shared" si="40"/>
        <v/>
      </c>
      <c r="R26" s="21" t="str">
        <f t="shared" si="40"/>
        <v/>
      </c>
      <c r="S26" s="20"/>
      <c r="T26" s="22"/>
      <c r="U26" s="22"/>
      <c r="V26" s="22"/>
      <c r="W26" s="22"/>
      <c r="X26" s="22"/>
      <c r="Y26" s="22"/>
    </row>
    <row r="27">
      <c r="A27" s="38" t="s">
        <v>38</v>
      </c>
      <c r="B27" s="39">
        <v>0.0</v>
      </c>
      <c r="C27" s="39">
        <v>0.0</v>
      </c>
      <c r="D27" s="39">
        <v>0.0</v>
      </c>
      <c r="E27" s="39">
        <v>0.0</v>
      </c>
      <c r="F27" s="39">
        <v>0.0</v>
      </c>
      <c r="G27" s="39">
        <v>0.0</v>
      </c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40"/>
      <c r="O27" s="40">
        <f>sum(B27:D27)</f>
        <v>0</v>
      </c>
      <c r="P27" s="40">
        <f>sum(E27:G27)</f>
        <v>0</v>
      </c>
      <c r="Q27" s="40">
        <f>sum(H27:J27)</f>
        <v>0</v>
      </c>
      <c r="R27" s="40">
        <f>sum(K27:M27)</f>
        <v>0</v>
      </c>
      <c r="S27" s="40">
        <f>sum(O27:R27)</f>
        <v>0</v>
      </c>
      <c r="T27" s="40"/>
      <c r="U27" s="40"/>
      <c r="V27" s="40"/>
      <c r="W27" s="40"/>
      <c r="X27" s="40"/>
      <c r="Y27" s="40"/>
    </row>
    <row r="28" ht="12.75" customHeight="1">
      <c r="A28" s="12" t="s">
        <v>22</v>
      </c>
      <c r="B28" s="20"/>
      <c r="C28" s="21" t="str">
        <f t="shared" ref="C28:M28" si="41">IFERROR((C27-B27)/B27,"")</f>
        <v/>
      </c>
      <c r="D28" s="21" t="str">
        <f t="shared" si="41"/>
        <v/>
      </c>
      <c r="E28" s="21" t="str">
        <f t="shared" si="41"/>
        <v/>
      </c>
      <c r="F28" s="21" t="str">
        <f t="shared" si="41"/>
        <v/>
      </c>
      <c r="G28" s="21" t="str">
        <f t="shared" si="41"/>
        <v/>
      </c>
      <c r="H28" s="21" t="str">
        <f t="shared" si="41"/>
        <v/>
      </c>
      <c r="I28" s="21" t="str">
        <f t="shared" si="41"/>
        <v/>
      </c>
      <c r="J28" s="21" t="str">
        <f t="shared" si="41"/>
        <v/>
      </c>
      <c r="K28" s="21" t="str">
        <f t="shared" si="41"/>
        <v/>
      </c>
      <c r="L28" s="21" t="str">
        <f t="shared" si="41"/>
        <v/>
      </c>
      <c r="M28" s="21" t="str">
        <f t="shared" si="41"/>
        <v/>
      </c>
      <c r="N28" s="22"/>
      <c r="O28" s="21" t="str">
        <f t="shared" ref="O28:R28" si="42">IFERROR((O27-N27)/N27,"")</f>
        <v/>
      </c>
      <c r="P28" s="21" t="str">
        <f t="shared" si="42"/>
        <v/>
      </c>
      <c r="Q28" s="21" t="str">
        <f t="shared" si="42"/>
        <v/>
      </c>
      <c r="R28" s="21" t="str">
        <f t="shared" si="42"/>
        <v/>
      </c>
      <c r="S28" s="20"/>
      <c r="T28" s="22"/>
      <c r="U28" s="22"/>
      <c r="V28" s="22"/>
      <c r="W28" s="22"/>
      <c r="X28" s="22"/>
      <c r="Y28" s="22"/>
    </row>
    <row r="29">
      <c r="A29" s="9" t="s">
        <v>39</v>
      </c>
      <c r="B29" s="10">
        <v>0.0</v>
      </c>
      <c r="C29" s="10">
        <v>0.0</v>
      </c>
      <c r="D29" s="10">
        <v>0.0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1"/>
      <c r="O29" s="11">
        <f>sum(B29:D29)</f>
        <v>0</v>
      </c>
      <c r="P29" s="11">
        <f>sum(E29:G29)</f>
        <v>0</v>
      </c>
      <c r="Q29" s="11">
        <f>sum(H29:J29)</f>
        <v>0</v>
      </c>
      <c r="R29" s="11">
        <f>sum(K29:M29)</f>
        <v>0</v>
      </c>
      <c r="S29" s="11">
        <f>sum(O29:R29)</f>
        <v>0</v>
      </c>
      <c r="T29" s="11"/>
      <c r="U29" s="11"/>
      <c r="V29" s="11"/>
      <c r="W29" s="11"/>
      <c r="X29" s="11"/>
      <c r="Y29" s="11"/>
    </row>
    <row r="30" ht="11.25" customHeight="1">
      <c r="A30" s="12" t="s">
        <v>22</v>
      </c>
      <c r="B30" s="20"/>
      <c r="C30" s="21" t="str">
        <f t="shared" ref="C30:M30" si="43">IFERROR((C29-B29)/B29,"")</f>
        <v/>
      </c>
      <c r="D30" s="21" t="str">
        <f t="shared" si="43"/>
        <v/>
      </c>
      <c r="E30" s="21" t="str">
        <f t="shared" si="43"/>
        <v/>
      </c>
      <c r="F30" s="21" t="str">
        <f t="shared" si="43"/>
        <v/>
      </c>
      <c r="G30" s="21" t="str">
        <f t="shared" si="43"/>
        <v/>
      </c>
      <c r="H30" s="21" t="str">
        <f t="shared" si="43"/>
        <v/>
      </c>
      <c r="I30" s="21" t="str">
        <f t="shared" si="43"/>
        <v/>
      </c>
      <c r="J30" s="21" t="str">
        <f t="shared" si="43"/>
        <v/>
      </c>
      <c r="K30" s="21" t="str">
        <f t="shared" si="43"/>
        <v/>
      </c>
      <c r="L30" s="21" t="str">
        <f t="shared" si="43"/>
        <v/>
      </c>
      <c r="M30" s="21" t="str">
        <f t="shared" si="43"/>
        <v/>
      </c>
      <c r="N30" s="22"/>
      <c r="O30" s="21" t="str">
        <f t="shared" ref="O30:R30" si="44">IFERROR((O29-N29)/N29,"")</f>
        <v/>
      </c>
      <c r="P30" s="21" t="str">
        <f t="shared" si="44"/>
        <v/>
      </c>
      <c r="Q30" s="21" t="str">
        <f t="shared" si="44"/>
        <v/>
      </c>
      <c r="R30" s="21" t="str">
        <f t="shared" si="44"/>
        <v/>
      </c>
      <c r="S30" s="20"/>
      <c r="T30" s="22"/>
      <c r="U30" s="22"/>
      <c r="V30" s="22"/>
      <c r="W30" s="22"/>
      <c r="X30" s="22"/>
      <c r="Y30" s="22"/>
    </row>
    <row r="31">
      <c r="A31" s="29" t="s">
        <v>40</v>
      </c>
      <c r="B31" s="30" t="str">
        <f t="shared" ref="B31:M31" si="45">IFERROR(B29/B13,"Pending Data")</f>
        <v>Pending Data</v>
      </c>
      <c r="C31" s="30" t="str">
        <f t="shared" si="45"/>
        <v>Pending Data</v>
      </c>
      <c r="D31" s="30" t="str">
        <f t="shared" si="45"/>
        <v>Pending Data</v>
      </c>
      <c r="E31" s="30" t="str">
        <f t="shared" si="45"/>
        <v>Pending Data</v>
      </c>
      <c r="F31" s="30" t="str">
        <f t="shared" si="45"/>
        <v>Pending Data</v>
      </c>
      <c r="G31" s="30" t="str">
        <f t="shared" si="45"/>
        <v>Pending Data</v>
      </c>
      <c r="H31" s="30" t="str">
        <f t="shared" si="45"/>
        <v>Pending Data</v>
      </c>
      <c r="I31" s="30" t="str">
        <f t="shared" si="45"/>
        <v>Pending Data</v>
      </c>
      <c r="J31" s="30" t="str">
        <f t="shared" si="45"/>
        <v>Pending Data</v>
      </c>
      <c r="K31" s="30" t="str">
        <f t="shared" si="45"/>
        <v>Pending Data</v>
      </c>
      <c r="L31" s="30" t="str">
        <f t="shared" si="45"/>
        <v>Pending Data</v>
      </c>
      <c r="M31" s="30" t="str">
        <f t="shared" si="45"/>
        <v>Pending Data</v>
      </c>
      <c r="N31" s="30"/>
      <c r="O31" s="30" t="str">
        <f t="shared" ref="O31:S31" si="46">IFERROR(O29/O13,"Pending Data")</f>
        <v>Pending Data</v>
      </c>
      <c r="P31" s="30" t="str">
        <f t="shared" si="46"/>
        <v>Pending Data</v>
      </c>
      <c r="Q31" s="30" t="str">
        <f t="shared" si="46"/>
        <v>Pending Data</v>
      </c>
      <c r="R31" s="30" t="str">
        <f t="shared" si="46"/>
        <v>Pending Data</v>
      </c>
      <c r="S31" s="30" t="str">
        <f t="shared" si="46"/>
        <v>Pending Data</v>
      </c>
      <c r="T31" s="30"/>
      <c r="U31" s="30"/>
      <c r="V31" s="30"/>
      <c r="W31" s="30"/>
      <c r="X31" s="30"/>
      <c r="Y31" s="30"/>
    </row>
    <row r="32" ht="11.25" customHeight="1">
      <c r="A32" s="12" t="s">
        <v>22</v>
      </c>
      <c r="B32" s="20"/>
      <c r="C32" s="21" t="str">
        <f t="shared" ref="C32:M32" si="47">IFERROR((C31-B31)/B31,"")</f>
        <v/>
      </c>
      <c r="D32" s="21" t="str">
        <f t="shared" si="47"/>
        <v/>
      </c>
      <c r="E32" s="21" t="str">
        <f t="shared" si="47"/>
        <v/>
      </c>
      <c r="F32" s="21" t="str">
        <f t="shared" si="47"/>
        <v/>
      </c>
      <c r="G32" s="21" t="str">
        <f t="shared" si="47"/>
        <v/>
      </c>
      <c r="H32" s="21" t="str">
        <f t="shared" si="47"/>
        <v/>
      </c>
      <c r="I32" s="21" t="str">
        <f t="shared" si="47"/>
        <v/>
      </c>
      <c r="J32" s="21" t="str">
        <f t="shared" si="47"/>
        <v/>
      </c>
      <c r="K32" s="21" t="str">
        <f t="shared" si="47"/>
        <v/>
      </c>
      <c r="L32" s="21" t="str">
        <f t="shared" si="47"/>
        <v/>
      </c>
      <c r="M32" s="21" t="str">
        <f t="shared" si="47"/>
        <v/>
      </c>
      <c r="N32" s="22"/>
      <c r="O32" s="21" t="str">
        <f t="shared" ref="O32:R32" si="48">IFERROR((O31-N31)/N31,"")</f>
        <v/>
      </c>
      <c r="P32" s="21" t="str">
        <f t="shared" si="48"/>
        <v/>
      </c>
      <c r="Q32" s="21" t="str">
        <f t="shared" si="48"/>
        <v/>
      </c>
      <c r="R32" s="21" t="str">
        <f t="shared" si="48"/>
        <v/>
      </c>
      <c r="S32" s="20"/>
      <c r="T32" s="22"/>
      <c r="U32" s="22"/>
      <c r="V32" s="22"/>
      <c r="W32" s="22"/>
      <c r="X32" s="22"/>
      <c r="Y32" s="22"/>
    </row>
    <row r="33">
      <c r="A33" s="35" t="s">
        <v>41</v>
      </c>
      <c r="B33" s="11" t="str">
        <f t="shared" ref="B33:M33" si="49">IFERROR(B13/B27,"Pending Data")</f>
        <v>Pending Data</v>
      </c>
      <c r="C33" s="11" t="str">
        <f t="shared" si="49"/>
        <v>Pending Data</v>
      </c>
      <c r="D33" s="11" t="str">
        <f t="shared" si="49"/>
        <v>Pending Data</v>
      </c>
      <c r="E33" s="11" t="str">
        <f t="shared" si="49"/>
        <v>Pending Data</v>
      </c>
      <c r="F33" s="11" t="str">
        <f t="shared" si="49"/>
        <v>Pending Data</v>
      </c>
      <c r="G33" s="11" t="str">
        <f t="shared" si="49"/>
        <v>Pending Data</v>
      </c>
      <c r="H33" s="11" t="str">
        <f t="shared" si="49"/>
        <v>Pending Data</v>
      </c>
      <c r="I33" s="11" t="str">
        <f t="shared" si="49"/>
        <v>Pending Data</v>
      </c>
      <c r="J33" s="11" t="str">
        <f t="shared" si="49"/>
        <v>Pending Data</v>
      </c>
      <c r="K33" s="11" t="str">
        <f t="shared" si="49"/>
        <v>Pending Data</v>
      </c>
      <c r="L33" s="11" t="str">
        <f t="shared" si="49"/>
        <v>Pending Data</v>
      </c>
      <c r="M33" s="11" t="str">
        <f t="shared" si="49"/>
        <v>Pending Data</v>
      </c>
      <c r="N33" s="11"/>
      <c r="O33" s="11" t="str">
        <f t="shared" ref="O33:S33" si="50">IFERROR(O13/O27,"Pending Data")</f>
        <v>Pending Data</v>
      </c>
      <c r="P33" s="11" t="str">
        <f t="shared" si="50"/>
        <v>Pending Data</v>
      </c>
      <c r="Q33" s="11" t="str">
        <f t="shared" si="50"/>
        <v>Pending Data</v>
      </c>
      <c r="R33" s="11" t="str">
        <f t="shared" si="50"/>
        <v>Pending Data</v>
      </c>
      <c r="S33" s="11" t="str">
        <f t="shared" si="50"/>
        <v>Pending Data</v>
      </c>
    </row>
    <row r="34" ht="12.75" customHeight="1">
      <c r="A34" s="12" t="s">
        <v>22</v>
      </c>
      <c r="B34" s="20"/>
      <c r="C34" s="21" t="str">
        <f t="shared" ref="C34:M34" si="51">IFERROR((C33-B33)/B33,"")</f>
        <v/>
      </c>
      <c r="D34" s="21" t="str">
        <f t="shared" si="51"/>
        <v/>
      </c>
      <c r="E34" s="21" t="str">
        <f t="shared" si="51"/>
        <v/>
      </c>
      <c r="F34" s="21" t="str">
        <f t="shared" si="51"/>
        <v/>
      </c>
      <c r="G34" s="21" t="str">
        <f t="shared" si="51"/>
        <v/>
      </c>
      <c r="H34" s="21" t="str">
        <f t="shared" si="51"/>
        <v/>
      </c>
      <c r="I34" s="21" t="str">
        <f t="shared" si="51"/>
        <v/>
      </c>
      <c r="J34" s="21" t="str">
        <f t="shared" si="51"/>
        <v/>
      </c>
      <c r="K34" s="21" t="str">
        <f t="shared" si="51"/>
        <v/>
      </c>
      <c r="L34" s="21" t="str">
        <f t="shared" si="51"/>
        <v/>
      </c>
      <c r="M34" s="21" t="str">
        <f t="shared" si="51"/>
        <v/>
      </c>
      <c r="N34" s="22"/>
      <c r="O34" s="21" t="str">
        <f t="shared" ref="O34:R34" si="52">IFERROR((O33-N33)/N33,"")</f>
        <v/>
      </c>
      <c r="P34" s="21" t="str">
        <f t="shared" si="52"/>
        <v/>
      </c>
      <c r="Q34" s="21" t="str">
        <f t="shared" si="52"/>
        <v/>
      </c>
      <c r="R34" s="21" t="str">
        <f t="shared" si="52"/>
        <v/>
      </c>
      <c r="S34" s="20"/>
      <c r="T34" s="22"/>
      <c r="U34" s="22"/>
      <c r="V34" s="22"/>
      <c r="W34" s="22"/>
      <c r="X34" s="22"/>
      <c r="Y34" s="22"/>
    </row>
    <row r="35">
      <c r="A35" s="37" t="s">
        <v>42</v>
      </c>
      <c r="B35" s="10">
        <v>0.0</v>
      </c>
      <c r="C35" s="10">
        <v>0.0</v>
      </c>
      <c r="D35" s="10">
        <v>0.0</v>
      </c>
      <c r="E35" s="10">
        <v>0.0</v>
      </c>
      <c r="F35" s="10">
        <v>0.0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36"/>
      <c r="O35" s="36">
        <f t="shared" ref="O35:O36" si="53">IFERROR(AVERAGE(B35:D35),"Pending Data")</f>
        <v>0</v>
      </c>
      <c r="P35" s="36">
        <f t="shared" ref="P35:P36" si="54">IFERROR(AVERAGE(E35:G35),"Pending Data")</f>
        <v>0</v>
      </c>
      <c r="Q35" s="36">
        <f t="shared" ref="Q35:Q36" si="55">IFERROR(AVERAGE(H35:J35),"Pending Data")</f>
        <v>0</v>
      </c>
      <c r="R35" s="36">
        <f t="shared" ref="R35:R36" si="56">IFERROR(AVERAGE(K35:M35),"Pending Data")</f>
        <v>0</v>
      </c>
      <c r="S35" s="36">
        <f t="shared" ref="S35:S36" si="57">IFERROR(AVERAGE(B35:M35),"Pending Data")</f>
        <v>0</v>
      </c>
      <c r="T35" s="36"/>
      <c r="U35" s="36"/>
      <c r="V35" s="36"/>
      <c r="W35" s="36"/>
      <c r="X35" s="36"/>
      <c r="Y35" s="36"/>
    </row>
    <row r="36">
      <c r="A36" s="29" t="s">
        <v>43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11"/>
      <c r="O36" s="42" t="str">
        <f t="shared" si="53"/>
        <v>Pending Data</v>
      </c>
      <c r="P36" s="42" t="str">
        <f t="shared" si="54"/>
        <v>Pending Data</v>
      </c>
      <c r="Q36" s="42" t="str">
        <f t="shared" si="55"/>
        <v>Pending Data</v>
      </c>
      <c r="R36" s="42" t="str">
        <f t="shared" si="56"/>
        <v>Pending Data</v>
      </c>
      <c r="S36" s="42" t="str">
        <f t="shared" si="57"/>
        <v>Pending Data</v>
      </c>
      <c r="T36" s="11"/>
      <c r="U36" s="11"/>
      <c r="V36" s="11"/>
      <c r="W36" s="11"/>
      <c r="X36" s="11"/>
      <c r="Y36" s="11"/>
    </row>
    <row r="37">
      <c r="A37" s="9" t="s">
        <v>44</v>
      </c>
      <c r="B37" s="43">
        <f t="shared" ref="B37:M37" si="58">IFERROR(B35*B36, "Pending Data")</f>
        <v>0</v>
      </c>
      <c r="C37" s="43">
        <f t="shared" si="58"/>
        <v>0</v>
      </c>
      <c r="D37" s="43">
        <f t="shared" si="58"/>
        <v>0</v>
      </c>
      <c r="E37" s="43">
        <f t="shared" si="58"/>
        <v>0</v>
      </c>
      <c r="F37" s="43">
        <f t="shared" si="58"/>
        <v>0</v>
      </c>
      <c r="G37" s="43">
        <f t="shared" si="58"/>
        <v>0</v>
      </c>
      <c r="H37" s="43">
        <f t="shared" si="58"/>
        <v>0</v>
      </c>
      <c r="I37" s="43">
        <f t="shared" si="58"/>
        <v>0</v>
      </c>
      <c r="J37" s="43">
        <f t="shared" si="58"/>
        <v>0</v>
      </c>
      <c r="K37" s="43">
        <f t="shared" si="58"/>
        <v>0</v>
      </c>
      <c r="L37" s="43">
        <f t="shared" si="58"/>
        <v>0</v>
      </c>
      <c r="M37" s="43">
        <f t="shared" si="58"/>
        <v>0</v>
      </c>
      <c r="N37" s="11"/>
      <c r="O37" s="43" t="str">
        <f t="shared" ref="O37:S37" si="59">IFERROR(O35*O36, "Pending Data")</f>
        <v>Pending Data</v>
      </c>
      <c r="P37" s="43" t="str">
        <f t="shared" si="59"/>
        <v>Pending Data</v>
      </c>
      <c r="Q37" s="43" t="str">
        <f t="shared" si="59"/>
        <v>Pending Data</v>
      </c>
      <c r="R37" s="43" t="str">
        <f t="shared" si="59"/>
        <v>Pending Data</v>
      </c>
      <c r="S37" s="43" t="str">
        <f t="shared" si="59"/>
        <v>Pending Data</v>
      </c>
      <c r="T37" s="11"/>
      <c r="U37" s="11"/>
      <c r="V37" s="11"/>
      <c r="W37" s="11"/>
      <c r="X37" s="11"/>
      <c r="Y37" s="11"/>
    </row>
    <row r="38" ht="12.75" customHeight="1">
      <c r="A38" s="12" t="s">
        <v>22</v>
      </c>
      <c r="B38" s="20"/>
      <c r="C38" s="21" t="str">
        <f t="shared" ref="C38:M38" si="60">IFERROR((C37-B37)/B37,"")</f>
        <v/>
      </c>
      <c r="D38" s="21" t="str">
        <f t="shared" si="60"/>
        <v/>
      </c>
      <c r="E38" s="21" t="str">
        <f t="shared" si="60"/>
        <v/>
      </c>
      <c r="F38" s="21" t="str">
        <f t="shared" si="60"/>
        <v/>
      </c>
      <c r="G38" s="21" t="str">
        <f t="shared" si="60"/>
        <v/>
      </c>
      <c r="H38" s="21" t="str">
        <f t="shared" si="60"/>
        <v/>
      </c>
      <c r="I38" s="21" t="str">
        <f t="shared" si="60"/>
        <v/>
      </c>
      <c r="J38" s="21" t="str">
        <f t="shared" si="60"/>
        <v/>
      </c>
      <c r="K38" s="21" t="str">
        <f t="shared" si="60"/>
        <v/>
      </c>
      <c r="L38" s="21" t="str">
        <f t="shared" si="60"/>
        <v/>
      </c>
      <c r="M38" s="21" t="str">
        <f t="shared" si="60"/>
        <v/>
      </c>
      <c r="N38" s="22"/>
      <c r="O38" s="21" t="str">
        <f t="shared" ref="O38:R38" si="61">IFERROR((O37-N37)/N37,"")</f>
        <v/>
      </c>
      <c r="P38" s="21" t="str">
        <f t="shared" si="61"/>
        <v/>
      </c>
      <c r="Q38" s="21" t="str">
        <f t="shared" si="61"/>
        <v/>
      </c>
      <c r="R38" s="21" t="str">
        <f t="shared" si="61"/>
        <v/>
      </c>
      <c r="S38" s="20"/>
      <c r="T38" s="22"/>
      <c r="U38" s="22"/>
      <c r="V38" s="22"/>
      <c r="W38" s="22"/>
      <c r="X38" s="22"/>
      <c r="Y38" s="22"/>
    </row>
    <row r="39">
      <c r="A39" s="35" t="s">
        <v>45</v>
      </c>
      <c r="B39" s="44" t="str">
        <f t="shared" ref="B39:M39" si="62">IFERROR(B37/B33,"Pending Data")</f>
        <v>Pending Data</v>
      </c>
      <c r="C39" s="44" t="str">
        <f t="shared" si="62"/>
        <v>Pending Data</v>
      </c>
      <c r="D39" s="44" t="str">
        <f t="shared" si="62"/>
        <v>Pending Data</v>
      </c>
      <c r="E39" s="44" t="str">
        <f t="shared" si="62"/>
        <v>Pending Data</v>
      </c>
      <c r="F39" s="44" t="str">
        <f t="shared" si="62"/>
        <v>Pending Data</v>
      </c>
      <c r="G39" s="44" t="str">
        <f t="shared" si="62"/>
        <v>Pending Data</v>
      </c>
      <c r="H39" s="44" t="str">
        <f t="shared" si="62"/>
        <v>Pending Data</v>
      </c>
      <c r="I39" s="44" t="str">
        <f t="shared" si="62"/>
        <v>Pending Data</v>
      </c>
      <c r="J39" s="44" t="str">
        <f t="shared" si="62"/>
        <v>Pending Data</v>
      </c>
      <c r="K39" s="44" t="str">
        <f t="shared" si="62"/>
        <v>Pending Data</v>
      </c>
      <c r="L39" s="44" t="str">
        <f t="shared" si="62"/>
        <v>Pending Data</v>
      </c>
      <c r="M39" s="44" t="str">
        <f t="shared" si="62"/>
        <v>Pending Data</v>
      </c>
      <c r="O39" s="44" t="str">
        <f t="shared" ref="O39:S39" si="63">IFERROR(O37/O33,"Pending Data")</f>
        <v>Pending Data</v>
      </c>
      <c r="P39" s="44" t="str">
        <f t="shared" si="63"/>
        <v>Pending Data</v>
      </c>
      <c r="Q39" s="44" t="str">
        <f t="shared" si="63"/>
        <v>Pending Data</v>
      </c>
      <c r="R39" s="44" t="str">
        <f t="shared" si="63"/>
        <v>Pending Data</v>
      </c>
      <c r="S39" s="44" t="str">
        <f t="shared" si="63"/>
        <v>Pending Data</v>
      </c>
    </row>
    <row r="40" ht="12.75" customHeight="1">
      <c r="A40" s="12" t="s">
        <v>22</v>
      </c>
      <c r="B40" s="20"/>
      <c r="C40" s="21" t="str">
        <f t="shared" ref="C40:M40" si="64">IFERROR((C39-B39)/B39,"")</f>
        <v/>
      </c>
      <c r="D40" s="21" t="str">
        <f t="shared" si="64"/>
        <v/>
      </c>
      <c r="E40" s="21" t="str">
        <f t="shared" si="64"/>
        <v/>
      </c>
      <c r="F40" s="21" t="str">
        <f t="shared" si="64"/>
        <v/>
      </c>
      <c r="G40" s="21" t="str">
        <f t="shared" si="64"/>
        <v/>
      </c>
      <c r="H40" s="21" t="str">
        <f t="shared" si="64"/>
        <v/>
      </c>
      <c r="I40" s="21" t="str">
        <f t="shared" si="64"/>
        <v/>
      </c>
      <c r="J40" s="21" t="str">
        <f t="shared" si="64"/>
        <v/>
      </c>
      <c r="K40" s="21" t="str">
        <f t="shared" si="64"/>
        <v/>
      </c>
      <c r="L40" s="21" t="str">
        <f t="shared" si="64"/>
        <v/>
      </c>
      <c r="M40" s="21" t="str">
        <f t="shared" si="64"/>
        <v/>
      </c>
      <c r="N40" s="22"/>
      <c r="O40" s="21" t="str">
        <f t="shared" ref="O40:R40" si="65">IFERROR((O39-N39)/N39,"")</f>
        <v/>
      </c>
      <c r="P40" s="21" t="str">
        <f t="shared" si="65"/>
        <v/>
      </c>
      <c r="Q40" s="21" t="str">
        <f t="shared" si="65"/>
        <v/>
      </c>
      <c r="R40" s="21" t="str">
        <f t="shared" si="65"/>
        <v/>
      </c>
      <c r="S40" s="20"/>
      <c r="T40" s="22"/>
      <c r="U40" s="22"/>
      <c r="V40" s="22"/>
      <c r="W40" s="22"/>
      <c r="X40" s="22"/>
      <c r="Y40" s="22"/>
    </row>
    <row r="41" ht="15.0" customHeight="1">
      <c r="A41" s="45" t="s">
        <v>46</v>
      </c>
      <c r="B41" s="46"/>
      <c r="C41" s="46"/>
      <c r="D41" s="47"/>
      <c r="E41" s="47"/>
      <c r="F41" s="47"/>
      <c r="G41" s="47"/>
      <c r="H41" s="47"/>
      <c r="I41" s="47"/>
      <c r="J41" s="47"/>
      <c r="K41" s="47"/>
      <c r="L41" s="47"/>
      <c r="M41" s="47"/>
      <c r="O41" s="1" t="str">
        <f>IFERROR(AVERAGE(B41:D41),"Pending Data")</f>
        <v>Pending Data</v>
      </c>
      <c r="P41" s="1" t="str">
        <f>IFERROR(AVERAGE(E41:G41),"Pending Data")</f>
        <v>Pending Data</v>
      </c>
      <c r="Q41" s="1" t="str">
        <f>IFERROR(AVERAGE(H41:J41),"Pending Data")</f>
        <v>Pending Data</v>
      </c>
      <c r="R41" s="1" t="str">
        <f>IFERROR(AVERAGE(K41:M41),"Pending Data")</f>
        <v>Pending Data</v>
      </c>
      <c r="S41" s="1" t="str">
        <f>IFERROR(AVERAGE(B41:M41),"Pending Data")</f>
        <v>Pending Data</v>
      </c>
    </row>
    <row r="42">
      <c r="A42" s="35" t="s">
        <v>47</v>
      </c>
      <c r="B42" s="1" t="str">
        <f t="shared" ref="B42:M42" si="66">IFERROR((B37*B41)/B33,"Pending Data")</f>
        <v>Pending Data</v>
      </c>
      <c r="C42" s="1" t="str">
        <f t="shared" si="66"/>
        <v>Pending Data</v>
      </c>
      <c r="D42" s="1" t="str">
        <f t="shared" si="66"/>
        <v>Pending Data</v>
      </c>
      <c r="E42" s="1" t="str">
        <f t="shared" si="66"/>
        <v>Pending Data</v>
      </c>
      <c r="F42" s="1" t="str">
        <f t="shared" si="66"/>
        <v>Pending Data</v>
      </c>
      <c r="G42" s="1" t="str">
        <f t="shared" si="66"/>
        <v>Pending Data</v>
      </c>
      <c r="H42" s="1" t="str">
        <f t="shared" si="66"/>
        <v>Pending Data</v>
      </c>
      <c r="I42" s="1" t="str">
        <f t="shared" si="66"/>
        <v>Pending Data</v>
      </c>
      <c r="J42" s="1" t="str">
        <f t="shared" si="66"/>
        <v>Pending Data</v>
      </c>
      <c r="K42" s="1" t="str">
        <f t="shared" si="66"/>
        <v>Pending Data</v>
      </c>
      <c r="L42" s="1" t="str">
        <f t="shared" si="66"/>
        <v>Pending Data</v>
      </c>
      <c r="M42" s="1" t="str">
        <f t="shared" si="66"/>
        <v>Pending Data</v>
      </c>
      <c r="O42" s="1" t="str">
        <f t="shared" ref="O42:S42" si="67">IFERROR((O37*O41)/O33,"Pending Data")</f>
        <v>Pending Data</v>
      </c>
      <c r="P42" s="1" t="str">
        <f t="shared" si="67"/>
        <v>Pending Data</v>
      </c>
      <c r="Q42" s="1" t="str">
        <f t="shared" si="67"/>
        <v>Pending Data</v>
      </c>
      <c r="R42" s="1" t="str">
        <f t="shared" si="67"/>
        <v>Pending Data</v>
      </c>
      <c r="S42" s="1" t="str">
        <f t="shared" si="67"/>
        <v>Pending Data</v>
      </c>
    </row>
    <row r="43" ht="12.75" customHeight="1">
      <c r="A43" s="12" t="s">
        <v>22</v>
      </c>
      <c r="B43" s="20"/>
      <c r="C43" s="21" t="str">
        <f t="shared" ref="C43:M43" si="68">IFERROR((C42-B42)/B42,"")</f>
        <v/>
      </c>
      <c r="D43" s="21" t="str">
        <f t="shared" si="68"/>
        <v/>
      </c>
      <c r="E43" s="21" t="str">
        <f t="shared" si="68"/>
        <v/>
      </c>
      <c r="F43" s="21" t="str">
        <f t="shared" si="68"/>
        <v/>
      </c>
      <c r="G43" s="21" t="str">
        <f t="shared" si="68"/>
        <v/>
      </c>
      <c r="H43" s="21" t="str">
        <f t="shared" si="68"/>
        <v/>
      </c>
      <c r="I43" s="21" t="str">
        <f t="shared" si="68"/>
        <v/>
      </c>
      <c r="J43" s="21" t="str">
        <f t="shared" si="68"/>
        <v/>
      </c>
      <c r="K43" s="21" t="str">
        <f t="shared" si="68"/>
        <v/>
      </c>
      <c r="L43" s="21" t="str">
        <f t="shared" si="68"/>
        <v/>
      </c>
      <c r="M43" s="21" t="str">
        <f t="shared" si="68"/>
        <v/>
      </c>
      <c r="N43" s="22"/>
      <c r="O43" s="21" t="str">
        <f t="shared" ref="O43:R43" si="69">IFERROR((O42-N42)/N42,"")</f>
        <v/>
      </c>
      <c r="P43" s="21" t="str">
        <f t="shared" si="69"/>
        <v/>
      </c>
      <c r="Q43" s="21" t="str">
        <f t="shared" si="69"/>
        <v/>
      </c>
      <c r="R43" s="21" t="str">
        <f t="shared" si="69"/>
        <v/>
      </c>
      <c r="S43" s="20"/>
      <c r="T43" s="22"/>
      <c r="U43" s="22"/>
      <c r="V43" s="22"/>
      <c r="W43" s="22"/>
      <c r="X43" s="22"/>
      <c r="Y43" s="22"/>
    </row>
    <row r="44">
      <c r="A44" s="48"/>
    </row>
    <row r="45">
      <c r="A45" s="48"/>
    </row>
    <row r="46">
      <c r="A46" s="48"/>
    </row>
    <row r="47">
      <c r="A47" s="48"/>
    </row>
  </sheetData>
  <mergeCells count="2">
    <mergeCell ref="B1:D1"/>
    <mergeCell ref="E1:G1"/>
  </mergeCells>
  <hyperlinks>
    <hyperlink r:id="rId1" ref="E1"/>
  </hyperlinks>
  <drawing r:id="rId2"/>
</worksheet>
</file>